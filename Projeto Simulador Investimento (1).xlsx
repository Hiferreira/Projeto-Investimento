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6530CB22-6052-45F9-AD30-5E9AB392D5EC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Projeto Dio" sheetId="1" r:id="rId1"/>
    <sheet name="Apoio" sheetId="2" r:id="rId2"/>
  </sheets>
  <definedNames>
    <definedName name="Aporte">'Projeto Dio'!$D$17:$D$17</definedName>
    <definedName name="Patrimonio">'Projeto Dio'!$D$20:$D$20</definedName>
    <definedName name="Quantidade_anos">'Projeto Dio'!$D$18:$D$18</definedName>
    <definedName name="Rendimento_Carteira">'Projeto Dio'!$D$13:$D$13</definedName>
    <definedName name="Taxa_R_Mensal">'Projeto Dio'!$D$19:$D$19</definedName>
    <definedName name="Valor_Investido">'Projeto Dio'!$D$17:$D$17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D37" i="1"/>
  <c r="D38" i="1"/>
  <c r="D39" i="1"/>
  <c r="D40" i="1"/>
  <c r="D41" i="1"/>
  <c r="D36" i="1"/>
  <c r="D42" i="1" s="1"/>
  <c r="C33" i="1" a="1"/>
  <c r="C33" i="1"/>
  <c r="D20" i="1" a="1"/>
  <c r="D20" i="1"/>
  <c r="D21" i="1" a="1"/>
  <c r="D21" i="1"/>
  <c r="C24" i="1" a="1"/>
  <c r="C24" i="1"/>
  <c r="C25" i="1"/>
  <c r="C26" i="1"/>
  <c r="C27" i="1"/>
  <c r="C28" i="1"/>
  <c r="D24" i="1" a="1"/>
  <c r="D24" i="1" s="1"/>
  <c r="D14" i="1"/>
  <c r="D28" i="1" a="1"/>
  <c r="D28" i="1" s="1"/>
  <c r="D27" i="1" a="1"/>
  <c r="D27" i="1" s="1"/>
  <c r="D26" i="1" a="1"/>
  <c r="D26" i="1" s="1"/>
  <c r="D25" i="1" a="1"/>
  <c r="D2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<sst xmlns="http://schemas.openxmlformats.org/spreadsheetml/2006/main" count="69" uniqueCount="34">
  <si>
    <t>Configurações</t>
  </si>
  <si>
    <t>Salário</t>
  </si>
  <si>
    <t>Rendimento Carteira</t>
  </si>
  <si>
    <t>Sugestão de Investimento</t>
  </si>
  <si>
    <t>INVESTIMENTO MENSAL</t>
  </si>
  <si>
    <t xml:space="preserve">Valor Investido ao mês </t>
  </si>
  <si>
    <t>Quantidade de anos</t>
  </si>
  <si>
    <t>Taxa de Rendimento Mensal</t>
  </si>
  <si>
    <t>Patrimônio Acumulado</t>
  </si>
  <si>
    <t>Dividendos Mensais</t>
  </si>
  <si>
    <t>Cenários</t>
  </si>
  <si>
    <t>Dividendos</t>
  </si>
  <si>
    <t>Valor em 2 anos</t>
  </si>
  <si>
    <t>Valor em 5 anos</t>
  </si>
  <si>
    <t>Valor em 10 anos</t>
  </si>
  <si>
    <t>Valor em 20 anos</t>
  </si>
  <si>
    <t>Valor em 30 anos</t>
  </si>
  <si>
    <t>Perfil</t>
  </si>
  <si>
    <t>Agressivo</t>
  </si>
  <si>
    <t>Valor Investido Mensalmente</t>
  </si>
  <si>
    <t>TIPO DE FII</t>
  </si>
  <si>
    <t>%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</si>
  <si>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</si>
  <si>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</si>
  <si>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</si>
  <si>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</si>
  <si>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</si>
  <si>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</si>
  <si>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</si>
  <si>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CHAVE COMPOSTA</t>
  </si>
  <si>
    <t>PERFIL</t>
  </si>
  <si>
    <t>%</t>
  </si>
  <si>
    <t>Conservador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</si>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</sst>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0.0%"/>
  </numFmts>
  <fonts count="14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FFFFFF"/>
      <name val="Calibri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9" tint="-0.499984740745262"/>
      <name val="Calibri"/>
      <scheme val="minor"/>
    </font>
    <font>
      <b/>
      <sz val="20"/>
      <color rgb="FF9C5700"/>
      <name val="Calibri"/>
      <scheme val="minor"/>
    </font>
    <font>
      <b/>
      <sz val="20"/>
      <color rgb="FF806000"/>
      <name val="Calibri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Calibri"/>
      <charset val="1"/>
    </font>
  </fonts>
  <fills count="8">
    <fill>
      <patternFill patternType="none"/>
    </fill>
    <fill>
      <patternFill patternType="gray125"/>
    </fill>
    <fill>
      <patternFill patternType="solid">
        <fgColor rgb="FF132E0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30">
    <border>
      <left/>
      <right/>
      <top/>
      <bottom/>
      <diagonal/>
    </border>
    <border>
      <left style="medium">
        <color theme="0" tint="-0.14999847407452621"/>
      </left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/>
      <bottom style="thin">
        <color theme="0" tint="-0.14999847407452621"/>
      </bottom>
      <diagonal/>
    </border>
    <border>
      <left/>
      <right style="medium">
        <color theme="0" tint="-0.14999847407452621"/>
      </right>
      <top style="thin">
        <color theme="0" tint="-0.14999847407452621"/>
      </top>
      <bottom/>
      <diagonal/>
    </border>
    <border>
      <left/>
      <right style="medium">
        <color theme="0" tint="-0.14999847407452621"/>
      </right>
      <top/>
      <bottom style="medium">
        <color theme="0" tint="-0.14999847407452621"/>
      </bottom>
      <diagonal/>
    </border>
    <border>
      <left style="medium">
        <color theme="0" tint="-0.14999847407452621"/>
      </left>
      <right/>
      <top style="medium">
        <color theme="0" tint="-0.14999847407452621"/>
      </top>
      <bottom style="medium">
        <color theme="0" tint="-0.14999847407452621"/>
      </bottom>
      <diagonal/>
    </border>
    <border>
      <left/>
      <right style="medium">
        <color theme="0" tint="-0.14999847407452621"/>
      </right>
      <top style="medium">
        <color theme="0" tint="-0.14999847407452621"/>
      </top>
      <bottom style="medium">
        <color theme="0" tint="-0.14999847407452621"/>
      </bottom>
      <diagonal/>
    </border>
    <border>
      <left/>
      <right/>
      <top style="medium">
        <color theme="0" tint="-0.14999847407452621"/>
      </top>
      <bottom style="medium">
        <color theme="0" tint="-0.14999847407452621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 style="thin">
        <color theme="9" tint="0.59999389629810485"/>
      </left>
      <right/>
      <top style="thin">
        <color theme="9" tint="0.59999389629810485"/>
      </top>
      <bottom style="thin">
        <color theme="9" tint="0.59999389629810485"/>
      </bottom>
      <diagonal/>
    </border>
    <border>
      <left/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 style="medium">
        <color theme="0" tint="-0.14999847407452621"/>
      </left>
      <right style="medium">
        <color theme="0" tint="-0.14999847407452621"/>
      </right>
      <top/>
      <bottom style="medium">
        <color theme="0" tint="-0.14999847407452621"/>
      </bottom>
      <diagonal/>
    </border>
    <border>
      <left style="thin">
        <color theme="9" tint="0.59999389629810485"/>
      </left>
      <right style="thin">
        <color theme="9" tint="0.59999389629810485"/>
      </right>
      <top style="thin">
        <color theme="9" tint="0.59999389629810485"/>
      </top>
      <bottom style="thin">
        <color theme="9" tint="0.59999389629810485"/>
      </bottom>
      <diagonal/>
    </border>
    <border>
      <left/>
      <right/>
      <top style="thin">
        <color theme="9" tint="0.59999389629810485"/>
      </top>
      <bottom style="thin">
        <color theme="9" tint="0.59999389629810485"/>
      </bottom>
      <diagonal/>
    </border>
    <border>
      <left style="medium">
        <color theme="0" tint="-0.14999847407452621"/>
      </left>
      <right/>
      <top/>
      <bottom style="medium">
        <color theme="0" tint="-0.14999847407452621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/>
      <bottom style="medium">
        <color rgb="FFFFC000"/>
      </bottom>
      <diagonal/>
    </border>
    <border>
      <left/>
      <right/>
      <top style="thin">
        <color theme="7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/>
      <right style="thin">
        <color rgb="FFFFC000"/>
      </right>
      <top/>
      <bottom/>
      <diagonal/>
    </border>
    <border>
      <left/>
      <right style="thin">
        <color rgb="FFFFC000"/>
      </right>
      <top/>
      <bottom style="medium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 style="thin">
        <color rgb="FFFFC000"/>
      </right>
      <top/>
      <bottom/>
      <diagonal/>
    </border>
    <border>
      <left style="thin">
        <color rgb="FFFFC000"/>
      </left>
      <right style="thin">
        <color rgb="FFFFC000"/>
      </right>
      <top/>
      <bottom style="medium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5" fillId="4" borderId="0" applyNumberFormat="0" applyBorder="0" applyAlignment="0" applyProtection="0"/>
  </cellStyleXfs>
  <cellXfs count="72">
    <xf numFmtId="0" fontId="0" fillId="0" borderId="0" xfId="0"/>
    <xf numFmtId="8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0" xfId="0" applyFont="1" applyFill="1" applyBorder="1" applyAlignment="1">
      <alignment vertical="center"/>
    </xf>
    <xf numFmtId="8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8" fontId="3" fillId="3" borderId="4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left" indent="2"/>
    </xf>
    <xf numFmtId="8" fontId="3" fillId="3" borderId="1" xfId="0" applyNumberFormat="1" applyFont="1" applyFill="1" applyBorder="1" applyAlignment="1">
      <alignment horizontal="center"/>
    </xf>
    <xf numFmtId="0" fontId="0" fillId="3" borderId="0" xfId="0" applyFill="1" applyAlignment="1">
      <alignment horizontal="left" indent="2"/>
    </xf>
    <xf numFmtId="0" fontId="9" fillId="4" borderId="8" xfId="1" applyFont="1" applyBorder="1" applyAlignment="1">
      <alignment horizontal="center" indent="1"/>
    </xf>
    <xf numFmtId="0" fontId="6" fillId="3" borderId="11" xfId="0" applyFont="1" applyFill="1" applyBorder="1" applyAlignment="1">
      <alignment horizontal="left" indent="2"/>
    </xf>
    <xf numFmtId="8" fontId="0" fillId="3" borderId="11" xfId="0" applyNumberFormat="1" applyFill="1" applyBorder="1" applyAlignment="1">
      <alignment horizontal="center"/>
    </xf>
    <xf numFmtId="0" fontId="2" fillId="2" borderId="12" xfId="0" applyFont="1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0" fontId="0" fillId="0" borderId="0" xfId="0" applyAlignment="1">
      <alignment horizontal="left" indent="2"/>
    </xf>
    <xf numFmtId="9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2" borderId="0" xfId="0" applyFont="1" applyFill="1"/>
    <xf numFmtId="0" fontId="11" fillId="2" borderId="0" xfId="0" applyFont="1" applyFill="1" applyAlignment="1">
      <alignment horizontal="left" indent="2"/>
    </xf>
    <xf numFmtId="0" fontId="11" fillId="2" borderId="0" xfId="0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0" fontId="10" fillId="5" borderId="8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left" indent="2"/>
    </xf>
    <xf numFmtId="0" fontId="6" fillId="3" borderId="4" xfId="0" applyFont="1" applyFill="1" applyBorder="1" applyAlignment="1">
      <alignment horizontal="left" indent="2"/>
    </xf>
    <xf numFmtId="0" fontId="6" fillId="3" borderId="5" xfId="0" applyFont="1" applyFill="1" applyBorder="1" applyAlignment="1">
      <alignment horizontal="left" indent="2"/>
    </xf>
    <xf numFmtId="0" fontId="6" fillId="3" borderId="6" xfId="0" applyFont="1" applyFill="1" applyBorder="1" applyAlignment="1">
      <alignment horizontal="left" indent="2"/>
    </xf>
    <xf numFmtId="0" fontId="2" fillId="2" borderId="9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left" indent="2"/>
    </xf>
    <xf numFmtId="0" fontId="6" fillId="0" borderId="4" xfId="0" applyFont="1" applyFill="1" applyBorder="1" applyAlignment="1">
      <alignment horizontal="left" indent="2"/>
    </xf>
    <xf numFmtId="0" fontId="6" fillId="0" borderId="5" xfId="0" applyFont="1" applyFill="1" applyBorder="1" applyAlignment="1">
      <alignment horizontal="left" indent="2"/>
    </xf>
    <xf numFmtId="0" fontId="6" fillId="0" borderId="6" xfId="0" applyFont="1" applyFill="1" applyBorder="1" applyAlignment="1">
      <alignment horizontal="left" indent="2"/>
    </xf>
    <xf numFmtId="0" fontId="7" fillId="3" borderId="5" xfId="0" applyFont="1" applyFill="1" applyBorder="1" applyAlignment="1">
      <alignment horizontal="left" indent="2"/>
    </xf>
    <xf numFmtId="0" fontId="7" fillId="3" borderId="7" xfId="0" applyFont="1" applyFill="1" applyBorder="1" applyAlignment="1">
      <alignment horizontal="left" indent="2"/>
    </xf>
    <xf numFmtId="0" fontId="7" fillId="3" borderId="6" xfId="0" applyFont="1" applyFill="1" applyBorder="1" applyAlignment="1">
      <alignment horizontal="left" indent="2"/>
    </xf>
    <xf numFmtId="0" fontId="2" fillId="2" borderId="13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0" borderId="0" xfId="0" applyBorder="1"/>
    <xf numFmtId="0" fontId="0" fillId="6" borderId="0" xfId="0" applyFill="1" applyAlignment="1">
      <alignment horizontal="center"/>
    </xf>
    <xf numFmtId="0" fontId="12" fillId="6" borderId="0" xfId="0" applyFont="1" applyFill="1" applyAlignment="1">
      <alignment horizontal="center"/>
    </xf>
    <xf numFmtId="164" fontId="0" fillId="3" borderId="18" xfId="0" applyNumberFormat="1" applyFill="1" applyBorder="1" applyAlignment="1">
      <alignment horizontal="center"/>
    </xf>
    <xf numFmtId="0" fontId="9" fillId="4" borderId="8" xfId="1" applyFont="1" applyBorder="1" applyAlignment="1">
      <alignment horizontal="center" vertical="center" wrapText="1"/>
    </xf>
    <xf numFmtId="0" fontId="9" fillId="4" borderId="16" xfId="1" applyFont="1" applyBorder="1" applyAlignment="1">
      <alignment horizontal="center" vertical="center" wrapText="1"/>
    </xf>
    <xf numFmtId="0" fontId="0" fillId="7" borderId="17" xfId="0" applyFill="1" applyBorder="1" applyAlignment="1">
      <alignment horizontal="left" indent="2"/>
    </xf>
    <xf numFmtId="0" fontId="0" fillId="7" borderId="0" xfId="0" applyFill="1" applyBorder="1" applyAlignment="1">
      <alignment horizontal="left" indent="2"/>
    </xf>
    <xf numFmtId="0" fontId="0" fillId="7" borderId="19" xfId="0" applyFill="1" applyBorder="1" applyAlignment="1">
      <alignment horizontal="left" indent="2"/>
    </xf>
    <xf numFmtId="9" fontId="0" fillId="7" borderId="20" xfId="0" applyNumberFormat="1" applyFill="1" applyBorder="1" applyAlignment="1">
      <alignment horizontal="center"/>
    </xf>
    <xf numFmtId="9" fontId="0" fillId="7" borderId="21" xfId="0" applyNumberFormat="1" applyFill="1" applyBorder="1" applyAlignment="1">
      <alignment horizontal="center"/>
    </xf>
    <xf numFmtId="9" fontId="0" fillId="7" borderId="22" xfId="0" applyNumberFormat="1" applyFill="1" applyBorder="1" applyAlignment="1">
      <alignment horizontal="center"/>
    </xf>
    <xf numFmtId="0" fontId="0" fillId="7" borderId="23" xfId="0" applyFill="1" applyBorder="1" applyAlignment="1">
      <alignment horizontal="left" indent="2"/>
    </xf>
    <xf numFmtId="9" fontId="0" fillId="7" borderId="24" xfId="0" applyNumberFormat="1" applyFill="1" applyBorder="1" applyAlignment="1">
      <alignment horizontal="center"/>
    </xf>
    <xf numFmtId="0" fontId="0" fillId="6" borderId="25" xfId="0" applyFill="1" applyBorder="1"/>
    <xf numFmtId="0" fontId="6" fillId="7" borderId="27" xfId="0" applyFont="1" applyFill="1" applyBorder="1"/>
    <xf numFmtId="0" fontId="6" fillId="7" borderId="28" xfId="0" applyFont="1" applyFill="1" applyBorder="1"/>
    <xf numFmtId="0" fontId="6" fillId="7" borderId="29" xfId="0" applyFont="1" applyFill="1" applyBorder="1"/>
    <xf numFmtId="0" fontId="0" fillId="7" borderId="26" xfId="0" applyFill="1" applyBorder="1"/>
    <xf numFmtId="0" fontId="0" fillId="7" borderId="27" xfId="0" applyFill="1" applyBorder="1"/>
    <xf numFmtId="0" fontId="0" fillId="7" borderId="28" xfId="0" applyFill="1" applyBorder="1"/>
    <xf numFmtId="0" fontId="13" fillId="7" borderId="20" xfId="0" applyFont="1" applyFill="1" applyBorder="1"/>
    <xf numFmtId="0" fontId="13" fillId="7" borderId="21" xfId="0" applyFont="1" applyFill="1" applyBorder="1"/>
    <xf numFmtId="0" fontId="13" fillId="7" borderId="22" xfId="0" applyFont="1" applyFill="1" applyBorder="1"/>
    <xf numFmtId="0" fontId="6" fillId="7" borderId="21" xfId="0" applyFont="1" applyFill="1" applyBorder="1"/>
    <xf numFmtId="0" fontId="6" fillId="7" borderId="22" xfId="0" applyFont="1" applyFill="1" applyBorder="1"/>
    <xf numFmtId="0" fontId="6" fillId="7" borderId="24" xfId="0" applyFont="1" applyFill="1" applyBorder="1"/>
    <xf numFmtId="164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0" fontId="0" fillId="0" borderId="3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132E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4</xdr:col>
      <xdr:colOff>0</xdr:colOff>
      <xdr:row>8</xdr:row>
      <xdr:rowOff>9525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F4AAE40-D85E-777D-EDF1-3B7E6FAED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31833" b="45833"/>
        <a:stretch>
          <a:fillRect/>
        </a:stretch>
      </xdr:blipFill>
      <xdr:spPr>
        <a:xfrm>
          <a:off x="266700" y="0"/>
          <a:ext cx="6143625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42"/>
  <sheetViews>
    <sheetView showGridLines="0" tabSelected="1" topLeftCell="A6" workbookViewId="0">
      <selection activeCell="D14" sqref="D14"/>
    </sheetView>
  </sheetViews>
  <sheetFormatPr defaultColWidth="0" defaultRowHeight="15"/>
  <cols>
    <col min="1" max="1" width="3.85546875" customWidth="1"/>
    <col min="2" max="2" width="47.28515625" customWidth="1"/>
    <col min="3" max="3" width="25.7109375" customWidth="1"/>
    <col min="4" max="4" width="19.28515625" style="2" bestFit="1" customWidth="1"/>
    <col min="5" max="5" width="4.140625" customWidth="1"/>
    <col min="6" max="7" width="9.140625" hidden="1" customWidth="1"/>
    <col min="8" max="11" width="9.140625" hidden="1"/>
  </cols>
  <sheetData>
    <row r="11" spans="2:4" ht="23.25" customHeight="1">
      <c r="B11" s="23" t="s">
        <v>0</v>
      </c>
      <c r="C11" s="24"/>
      <c r="D11" s="25"/>
    </row>
    <row r="12" spans="2:4" ht="15.75">
      <c r="B12" s="26" t="s">
        <v>1</v>
      </c>
      <c r="C12" s="27"/>
      <c r="D12" s="15">
        <v>5000</v>
      </c>
    </row>
    <row r="13" spans="2:4" ht="15.75">
      <c r="B13" s="28" t="s">
        <v>2</v>
      </c>
      <c r="C13" s="29"/>
      <c r="D13" s="6">
        <v>6.0000000000000001E-3</v>
      </c>
    </row>
    <row r="14" spans="2:4" ht="15.75">
      <c r="B14" s="28" t="s">
        <v>3</v>
      </c>
      <c r="C14" s="29"/>
      <c r="D14" s="71">
        <f>D12*30%</f>
        <v>1500</v>
      </c>
    </row>
    <row r="16" spans="2:4" ht="42.75" customHeight="1">
      <c r="B16" s="30" t="s">
        <v>4</v>
      </c>
      <c r="C16" s="39"/>
      <c r="D16" s="40"/>
    </row>
    <row r="17" spans="1:5" ht="15.75">
      <c r="B17" s="32" t="s">
        <v>5</v>
      </c>
      <c r="C17" s="33"/>
      <c r="D17" s="68">
        <v>500</v>
      </c>
    </row>
    <row r="18" spans="1:5" ht="15.75">
      <c r="B18" s="34" t="s">
        <v>6</v>
      </c>
      <c r="C18" s="35"/>
      <c r="D18" s="69">
        <v>5</v>
      </c>
    </row>
    <row r="19" spans="1:5" ht="15" customHeight="1">
      <c r="B19" s="34" t="s">
        <v>7</v>
      </c>
      <c r="C19" s="35"/>
      <c r="D19" s="70">
        <v>1.0789999999999999E-2</v>
      </c>
    </row>
    <row r="20" spans="1:5" ht="15" customHeight="1">
      <c r="B20" s="36" t="s">
        <v>8</v>
      </c>
      <c r="C20" s="37"/>
      <c r="D20" s="9" cm="1">
        <f t="array" ref="D20">FV(Taxa_R_Mensal,Quantidade_anos*12,Valor_Investido*-1)</f>
        <v>41888.456999243819</v>
      </c>
    </row>
    <row r="21" spans="1:5" ht="15" customHeight="1">
      <c r="B21" s="36" t="s">
        <v>9</v>
      </c>
      <c r="C21" s="38"/>
      <c r="D21" s="7" cm="1">
        <f t="array" ref="D21">Patrimonio*Rendimento_Carteira</f>
        <v>251.33074199546292</v>
      </c>
    </row>
    <row r="23" spans="1:5" ht="26.25">
      <c r="B23" s="30" t="s">
        <v>10</v>
      </c>
      <c r="C23" s="31"/>
      <c r="D23" s="14" t="s">
        <v>11</v>
      </c>
      <c r="E23" s="4"/>
    </row>
    <row r="24" spans="1:5" ht="15.75">
      <c r="A24" s="3">
        <v>2</v>
      </c>
      <c r="B24" s="12" t="s">
        <v>12</v>
      </c>
      <c r="C24" s="13" cm="1">
        <f t="array" ref="C24">FV(Taxa_R_Mensal,A$24*12,Valor_Investido*-1)</f>
        <v>13613.813648822608</v>
      </c>
      <c r="D24" s="13" cm="1">
        <f t="array" ref="D24">C24*Rendimento_Carteira</f>
        <v>81.682881892935654</v>
      </c>
    </row>
    <row r="25" spans="1:5" ht="15.75">
      <c r="A25" s="3">
        <v>5</v>
      </c>
      <c r="B25" s="8" t="s">
        <v>13</v>
      </c>
      <c r="C25" s="5">
        <f>FV($D$19,$A$25*12,$D$17*-1)</f>
        <v>41888.456999243819</v>
      </c>
      <c r="D25" s="5" cm="1">
        <f t="array" ref="D25">C25*Rendimento_Carteira</f>
        <v>251.33074199546292</v>
      </c>
    </row>
    <row r="26" spans="1:5" ht="15.75">
      <c r="A26" s="3">
        <v>10</v>
      </c>
      <c r="B26" s="8" t="s">
        <v>14</v>
      </c>
      <c r="C26" s="5">
        <f>FV($D$19,$A$26*12,$D$17*-1)</f>
        <v>121642.1062650861</v>
      </c>
      <c r="D26" s="5" cm="1">
        <f t="array" ref="D26">C26*Rendimento_Carteira</f>
        <v>729.85263759051657</v>
      </c>
    </row>
    <row r="27" spans="1:5" ht="15.75">
      <c r="A27" s="3">
        <v>20</v>
      </c>
      <c r="B27" s="8" t="s">
        <v>15</v>
      </c>
      <c r="C27" s="5">
        <f>FV($D$19,$A$27*12,$D$17*-1)</f>
        <v>562599.20004854025</v>
      </c>
      <c r="D27" s="5" cm="1">
        <f t="array" ref="D27">C27*Rendimento_Carteira</f>
        <v>3375.5952002912418</v>
      </c>
    </row>
    <row r="28" spans="1:5" ht="15.75">
      <c r="A28" s="3">
        <v>30</v>
      </c>
      <c r="B28" s="8" t="s">
        <v>16</v>
      </c>
      <c r="C28" s="5">
        <f>FV($D$19,$A$28*12,$D$17*-1)</f>
        <v>2161084.8275023573</v>
      </c>
      <c r="D28" s="5" cm="1">
        <f t="array" ref="D28">C28*Rendimento_Carteira</f>
        <v>12966.508965014144</v>
      </c>
    </row>
    <row r="29" spans="1:5">
      <c r="C29" s="1"/>
    </row>
    <row r="32" spans="1:5" ht="26.25">
      <c r="B32" s="11" t="s">
        <v>17</v>
      </c>
      <c r="C32" s="45" t="s">
        <v>18</v>
      </c>
      <c r="D32" s="46"/>
    </row>
    <row r="33" spans="2:4">
      <c r="B33" s="10" t="s">
        <v>19</v>
      </c>
      <c r="C33" s="44" cm="1">
        <f t="array" ref="C33">Aporte</f>
        <v>500</v>
      </c>
      <c r="D33" s="44"/>
    </row>
    <row r="35" spans="2:4">
      <c r="B35" s="20" t="s">
        <v>20</v>
      </c>
      <c r="C35" s="21" t="s">
        <v>21</v>
      </c>
      <c r="D35" s="21" t="s">
        <v>22</v>
      </c>
    </row>
    <row r="36" spans="2:4">
      <c r="B36" s="16" t="s">
        <v>23</v>
      </c>
      <c r="C36" s="17">
        <f>VLOOKUP($C$32&amp;"-"&amp;B36,Apoio!A2:D20,4,FALSE)</f>
        <v>0.5</v>
      </c>
      <c r="D36" s="18">
        <f>$C$33*C36</f>
        <v>250</v>
      </c>
    </row>
    <row r="37" spans="2:4">
      <c r="B37" s="16" t="s">
        <v>24</v>
      </c>
      <c r="C37" s="17">
        <f>VLOOKUP($C$32&amp;"-"&amp;B37,Apoio!A3:D21,4,FALSE)</f>
        <v>0.1</v>
      </c>
      <c r="D37" s="18">
        <f t="shared" ref="D37:D41" si="0">$C$33*C37</f>
        <v>50</v>
      </c>
    </row>
    <row r="38" spans="2:4">
      <c r="B38" s="16" t="s">
        <v>25</v>
      </c>
      <c r="C38" s="17">
        <f>VLOOKUP($C$32&amp;"-"&amp;B38,Apoio!A4:D22,4,FALSE)</f>
        <v>0.05</v>
      </c>
      <c r="D38" s="18">
        <f t="shared" si="0"/>
        <v>25</v>
      </c>
    </row>
    <row r="39" spans="2:4">
      <c r="B39" s="16" t="s">
        <v>26</v>
      </c>
      <c r="C39" s="17">
        <f>VLOOKUP($C$32&amp;"-"&amp;B39,Apoio!A5:D23,4,FALSE)</f>
        <v>0.05</v>
      </c>
      <c r="D39" s="18">
        <f t="shared" si="0"/>
        <v>25</v>
      </c>
    </row>
    <row r="40" spans="2:4">
      <c r="B40" s="16" t="s">
        <v>27</v>
      </c>
      <c r="C40" s="17">
        <f>VLOOKUP($C$32&amp;"-"&amp;B40,Apoio!A6:D24,4,FALSE)</f>
        <v>0.2</v>
      </c>
      <c r="D40" s="18">
        <f t="shared" si="0"/>
        <v>100</v>
      </c>
    </row>
    <row r="41" spans="2:4">
      <c r="B41" s="16" t="s">
        <v>28</v>
      </c>
      <c r="C41" s="17">
        <f>VLOOKUP($C$32&amp;"-"&amp;B41,Apoio!A7:D25,4,FALSE)</f>
        <v>0.1</v>
      </c>
      <c r="D41" s="18">
        <f t="shared" si="0"/>
        <v>50</v>
      </c>
    </row>
    <row r="42" spans="2:4">
      <c r="B42" s="19"/>
      <c r="C42" s="19"/>
      <c r="D42" s="22">
        <f>SUM(D36:D41)</f>
        <v>500</v>
      </c>
    </row>
  </sheetData>
  <mergeCells count="13">
    <mergeCell ref="C33:D33"/>
    <mergeCell ref="C32:D32"/>
    <mergeCell ref="B11:D11"/>
    <mergeCell ref="B12:C12"/>
    <mergeCell ref="B13:C13"/>
    <mergeCell ref="B14:C14"/>
    <mergeCell ref="B23:C23"/>
    <mergeCell ref="B17:C17"/>
    <mergeCell ref="B18:C18"/>
    <mergeCell ref="B20:C20"/>
    <mergeCell ref="B19:C19"/>
    <mergeCell ref="B21:C21"/>
    <mergeCell ref="B16:D16"/>
  </mergeCells>
  <dataValidations count="1">
    <dataValidation type="list" allowBlank="1" showInputMessage="1" showErrorMessage="1" sqref="C32" xr:uid="{134E77A5-EB9C-4326-8F2F-39B7DB69F80C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6D914-6326-4DC6-8469-1FD72435779C}">
  <dimension ref="A2:I20"/>
  <sheetViews>
    <sheetView workbookViewId="0">
      <selection activeCell="H13" sqref="H13"/>
    </sheetView>
  </sheetViews>
  <sheetFormatPr defaultRowHeight="15"/>
  <cols>
    <col min="1" max="1" width="30.28515625" bestFit="1" customWidth="1"/>
    <col min="2" max="2" width="12.85546875" bestFit="1" customWidth="1"/>
    <col min="3" max="3" width="21.28515625" bestFit="1" customWidth="1"/>
  </cols>
  <sheetData>
    <row r="2" spans="1:9">
      <c r="A2" s="55" t="s">
        <v>29</v>
      </c>
      <c r="B2" s="42" t="s">
        <v>30</v>
      </c>
      <c r="C2" s="42" t="s">
        <v>20</v>
      </c>
      <c r="D2" s="43" t="s">
        <v>31</v>
      </c>
    </row>
    <row r="3" spans="1:9" ht="15.75">
      <c r="A3" s="59" t="str">
        <f>$B$3&amp;"-"&amp;C3</f>
        <v>Conservador-PAPEL</v>
      </c>
      <c r="B3" s="62" t="s">
        <v>32</v>
      </c>
      <c r="C3" s="49" t="s">
        <v>23</v>
      </c>
      <c r="D3" s="50">
        <v>0.3</v>
      </c>
    </row>
    <row r="4" spans="1:9" ht="15.75">
      <c r="A4" s="60" t="str">
        <f t="shared" ref="A4:A20" si="0">$B$3&amp;"-"&amp;C4</f>
        <v>Conservador-TIJOLO</v>
      </c>
      <c r="B4" s="63" t="s">
        <v>32</v>
      </c>
      <c r="C4" s="48" t="s">
        <v>24</v>
      </c>
      <c r="D4" s="51">
        <v>0.5</v>
      </c>
    </row>
    <row r="5" spans="1:9" ht="15.75">
      <c r="A5" s="60" t="str">
        <f t="shared" si="0"/>
        <v>Conservador-HIBRIDOS</v>
      </c>
      <c r="B5" s="63" t="s">
        <v>32</v>
      </c>
      <c r="C5" s="48" t="s">
        <v>25</v>
      </c>
      <c r="D5" s="51">
        <v>0.1</v>
      </c>
    </row>
    <row r="6" spans="1:9" ht="15.75">
      <c r="A6" s="60" t="str">
        <f t="shared" si="0"/>
        <v>Conservador-FOFs</v>
      </c>
      <c r="B6" s="63" t="s">
        <v>32</v>
      </c>
      <c r="C6" s="48" t="s">
        <v>26</v>
      </c>
      <c r="D6" s="51">
        <v>0.1</v>
      </c>
    </row>
    <row r="7" spans="1:9" ht="15.75">
      <c r="A7" s="60" t="str">
        <f t="shared" si="0"/>
        <v>Conservador-DESENVOLVIMENTO</v>
      </c>
      <c r="B7" s="63" t="s">
        <v>32</v>
      </c>
      <c r="C7" s="48" t="s">
        <v>27</v>
      </c>
      <c r="D7" s="51">
        <v>0</v>
      </c>
    </row>
    <row r="8" spans="1:9" ht="15.75">
      <c r="A8" s="61" t="str">
        <f t="shared" si="0"/>
        <v>Conservador-HOTELARIAS</v>
      </c>
      <c r="B8" s="64" t="s">
        <v>32</v>
      </c>
      <c r="C8" s="47" t="s">
        <v>28</v>
      </c>
      <c r="D8" s="52">
        <v>0</v>
      </c>
    </row>
    <row r="9" spans="1:9" ht="15.75">
      <c r="A9" s="56" t="str">
        <f>$B$9&amp;"-"&amp;C9</f>
        <v>Moderado-PAPEL</v>
      </c>
      <c r="B9" s="65" t="s">
        <v>33</v>
      </c>
      <c r="C9" s="48" t="s">
        <v>23</v>
      </c>
      <c r="D9" s="51">
        <v>0.32</v>
      </c>
    </row>
    <row r="10" spans="1:9" ht="15.75">
      <c r="A10" s="56" t="str">
        <f t="shared" ref="A10:A14" si="1">$B$9&amp;"-"&amp;C10</f>
        <v>Moderado-TIJOLO</v>
      </c>
      <c r="B10" s="65" t="s">
        <v>33</v>
      </c>
      <c r="C10" s="48" t="s">
        <v>24</v>
      </c>
      <c r="D10" s="51">
        <v>0.35</v>
      </c>
    </row>
    <row r="11" spans="1:9" ht="15.75">
      <c r="A11" s="56" t="str">
        <f t="shared" si="1"/>
        <v>Moderado-HIBRIDOS</v>
      </c>
      <c r="B11" s="65" t="s">
        <v>33</v>
      </c>
      <c r="C11" s="48" t="s">
        <v>25</v>
      </c>
      <c r="D11" s="51">
        <v>0.08</v>
      </c>
    </row>
    <row r="12" spans="1:9" ht="15.75">
      <c r="A12" s="56" t="str">
        <f t="shared" si="1"/>
        <v>Moderado-FOFs</v>
      </c>
      <c r="B12" s="65" t="s">
        <v>33</v>
      </c>
      <c r="C12" s="48" t="s">
        <v>26</v>
      </c>
      <c r="D12" s="51">
        <v>0.05</v>
      </c>
    </row>
    <row r="13" spans="1:9" ht="15.75">
      <c r="A13" s="56" t="str">
        <f t="shared" si="1"/>
        <v>Moderado-DESENVOLVIMENTO</v>
      </c>
      <c r="B13" s="65" t="s">
        <v>33</v>
      </c>
      <c r="C13" s="48" t="s">
        <v>27</v>
      </c>
      <c r="D13" s="51">
        <v>0.1</v>
      </c>
    </row>
    <row r="14" spans="1:9" ht="15.75">
      <c r="A14" s="57" t="str">
        <f t="shared" si="1"/>
        <v>Moderado-HOTELARIAS</v>
      </c>
      <c r="B14" s="66" t="s">
        <v>33</v>
      </c>
      <c r="C14" s="47" t="s">
        <v>28</v>
      </c>
      <c r="D14" s="52">
        <v>0.1</v>
      </c>
    </row>
    <row r="15" spans="1:9" ht="15.75">
      <c r="A15" s="56" t="str">
        <f>$B$15&amp;"-"&amp;C15</f>
        <v>Agressivo-PAPEL</v>
      </c>
      <c r="B15" s="65" t="s">
        <v>18</v>
      </c>
      <c r="C15" s="48" t="s">
        <v>23</v>
      </c>
      <c r="D15" s="51">
        <v>0.5</v>
      </c>
      <c r="I15" s="41"/>
    </row>
    <row r="16" spans="1:9" ht="15.75">
      <c r="A16" s="56" t="str">
        <f t="shared" ref="A16:A20" si="2">$B$15&amp;"-"&amp;C16</f>
        <v>Agressivo-TIJOLO</v>
      </c>
      <c r="B16" s="65" t="s">
        <v>18</v>
      </c>
      <c r="C16" s="48" t="s">
        <v>24</v>
      </c>
      <c r="D16" s="51">
        <v>0.1</v>
      </c>
    </row>
    <row r="17" spans="1:4" ht="15.75">
      <c r="A17" s="56" t="str">
        <f t="shared" si="2"/>
        <v>Agressivo-HIBRIDOS</v>
      </c>
      <c r="B17" s="65" t="s">
        <v>18</v>
      </c>
      <c r="C17" s="48" t="s">
        <v>25</v>
      </c>
      <c r="D17" s="51">
        <v>0.05</v>
      </c>
    </row>
    <row r="18" spans="1:4" ht="15.75">
      <c r="A18" s="56" t="str">
        <f t="shared" si="2"/>
        <v>Agressivo-FOFs</v>
      </c>
      <c r="B18" s="65" t="s">
        <v>18</v>
      </c>
      <c r="C18" s="48" t="s">
        <v>26</v>
      </c>
      <c r="D18" s="51">
        <v>0.05</v>
      </c>
    </row>
    <row r="19" spans="1:4" ht="15.75">
      <c r="A19" s="56" t="str">
        <f t="shared" si="2"/>
        <v>Agressivo-DESENVOLVIMENTO</v>
      </c>
      <c r="B19" s="65" t="s">
        <v>18</v>
      </c>
      <c r="C19" s="48" t="s">
        <v>27</v>
      </c>
      <c r="D19" s="51">
        <v>0.2</v>
      </c>
    </row>
    <row r="20" spans="1:4" ht="15.75">
      <c r="A20" s="58" t="str">
        <f t="shared" si="2"/>
        <v>Agressivo-HOTELARIAS</v>
      </c>
      <c r="B20" s="67" t="s">
        <v>18</v>
      </c>
      <c r="C20" s="53" t="s">
        <v>28</v>
      </c>
      <c r="D20" s="54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2026-01-20T01:14:29Z</dcterms:created>
  <dcterms:modified xsi:type="dcterms:W3CDTF">2026-01-21T00:32:48Z</dcterms:modified>
  <cp:category/>
  <cp:contentStatus/>
</cp:coreProperties>
</file>